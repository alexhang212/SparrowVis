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08" windowWidth="8460" windowHeight="9120"/>
  </bookViews>
  <sheets>
    <sheet name="217" sheetId="1" r:id="rId1"/>
  </sheets>
  <calcPr calcId="101716"/>
</workbook>
</file>

<file path=xl/calcChain.xml><?xml version="1.0" encoding="utf-8"?>
<calcChain xmlns="http://schemas.openxmlformats.org/spreadsheetml/2006/main">
  <c r="A6" i="1"/>
  <c r="J20"/>
  <c r="K20"/>
  <c r="K12"/>
  <c r="K16"/>
  <c r="K18"/>
  <c r="J19"/>
  <c r="J14"/>
  <c r="J10"/>
  <c r="K7"/>
  <c r="J4"/>
  <c r="A18"/>
  <c r="A19"/>
  <c r="A12"/>
  <c r="A16"/>
</calcChain>
</file>

<file path=xl/sharedStrings.xml><?xml version="1.0" encoding="utf-8"?>
<sst xmlns="http://schemas.openxmlformats.org/spreadsheetml/2006/main" count="54" uniqueCount="39">
  <si>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</si>
  <si>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</si>
  <si>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</si>
  <si>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</si>
  <si>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</si>
  <si>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</si>
  <si>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</si>
  <si>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</si>
  <si>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</si>
  <si>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</si>
  <si>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</si>
  <si>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</si>
  <si>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</si>
  <si>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</si>
  <si>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</si>
  <si>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</si>
  <si>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</si>
  <si>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</si>
  <si>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</si>
  <si>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</si>
  <si>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</si>
  <si>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</si>
  <si>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</si>
  <si>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</si>
  <si>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</si>
  <si>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</si>
  <si>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</si>
  <si>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</si>
  <si>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</si>
  <si>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S</t>
    <phoneticPr fontId="2"/>
  </si>
  <si>
    <t>G</t>
    <phoneticPr fontId="2"/>
  </si>
  <si>
    <t>O</t>
    <phoneticPr fontId="2"/>
  </si>
  <si>
    <t>IN</t>
    <phoneticPr fontId="2"/>
  </si>
  <si>
    <t>N</t>
    <phoneticPr fontId="2"/>
  </si>
  <si>
    <t>ONRM</t>
  </si>
  <si>
    <t>TB09180</t>
  </si>
  <si>
    <t>BYRM(OORM)</t>
  </si>
  <si>
    <t>????</t>
    <phoneticPr fontId="2"/>
  </si>
  <si>
    <t>TB09182</t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</si>
</sst>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49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49" fontId="4" fillId="2" borderId="0" xfId="0" applyNumberFormat="1" applyFont="1" applyFill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D44" sqref="D44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217</v>
      </c>
      <c r="B2" s="4">
        <v>4.5999999999999996</v>
      </c>
      <c r="C2" s="4" t="s">
        <v>29</v>
      </c>
      <c r="D2" s="4"/>
      <c r="E2" s="4"/>
      <c r="F2" s="4"/>
      <c r="G2" s="4"/>
      <c r="H2" s="5"/>
      <c r="I2" s="5"/>
    </row>
    <row r="3" spans="1:11">
      <c r="A3" t="s">
        <v>8</v>
      </c>
      <c r="B3" s="8">
        <v>5</v>
      </c>
      <c r="C3" s="8"/>
      <c r="D3" s="8"/>
      <c r="E3" s="4"/>
      <c r="F3" s="4"/>
      <c r="G3" s="4"/>
      <c r="H3" s="6"/>
      <c r="I3" s="4"/>
    </row>
    <row r="4" spans="1:11">
      <c r="A4">
        <v>93.8</v>
      </c>
      <c r="B4" s="8"/>
      <c r="C4" s="8"/>
      <c r="D4" s="8">
        <v>13.8</v>
      </c>
      <c r="E4" s="1" t="s">
        <v>30</v>
      </c>
      <c r="F4" s="4">
        <v>13.8</v>
      </c>
      <c r="G4" s="4" t="s">
        <v>29</v>
      </c>
      <c r="H4" s="4"/>
      <c r="I4" s="4"/>
      <c r="J4" s="1">
        <f>D4-B3</f>
        <v>8.8000000000000007</v>
      </c>
    </row>
    <row r="5" spans="1:11">
      <c r="A5" t="s">
        <v>9</v>
      </c>
      <c r="B5" s="4"/>
      <c r="C5" s="4"/>
      <c r="D5" s="4"/>
      <c r="E5" s="4"/>
      <c r="F5" s="8">
        <v>14</v>
      </c>
      <c r="G5" s="8"/>
      <c r="H5" s="8"/>
      <c r="I5" s="4"/>
    </row>
    <row r="6" spans="1:11">
      <c r="A6">
        <f>A4-B2</f>
        <v>89.2</v>
      </c>
      <c r="B6" s="9">
        <v>18.100000000000001</v>
      </c>
      <c r="C6" s="9"/>
      <c r="D6" s="9">
        <v>18.899999999999999</v>
      </c>
      <c r="E6" s="4" t="s">
        <v>31</v>
      </c>
      <c r="F6" s="8"/>
      <c r="G6" s="8"/>
      <c r="H6" s="8"/>
      <c r="I6" s="4"/>
    </row>
    <row r="7" spans="1:11">
      <c r="A7" s="3" t="s">
        <v>10</v>
      </c>
      <c r="B7" s="3">
        <v>20.7</v>
      </c>
      <c r="C7" s="3" t="s">
        <v>33</v>
      </c>
      <c r="D7" s="3"/>
      <c r="E7" s="1"/>
      <c r="F7" s="8"/>
      <c r="G7" s="8"/>
      <c r="H7" s="8">
        <v>20.7</v>
      </c>
      <c r="I7" s="4" t="s">
        <v>30</v>
      </c>
      <c r="K7" s="3">
        <f>H7-F5</f>
        <v>6.6999999999999993</v>
      </c>
    </row>
    <row r="8" spans="1:11">
      <c r="A8" s="3">
        <v>29.7</v>
      </c>
      <c r="B8" s="3"/>
      <c r="C8" s="3"/>
      <c r="D8" s="3">
        <v>20.8</v>
      </c>
      <c r="E8" s="4" t="s">
        <v>29</v>
      </c>
      <c r="F8" s="4"/>
      <c r="G8" s="4"/>
      <c r="H8" s="4"/>
      <c r="I8" s="4"/>
    </row>
    <row r="9" spans="1:11">
      <c r="A9" s="1" t="s">
        <v>11</v>
      </c>
      <c r="B9" s="8">
        <v>21</v>
      </c>
      <c r="C9" s="8"/>
      <c r="D9" s="8"/>
      <c r="E9" s="4"/>
      <c r="F9" s="4"/>
      <c r="G9" s="4"/>
      <c r="H9" s="4"/>
      <c r="I9" s="4"/>
    </row>
    <row r="10" spans="1:11">
      <c r="A10" s="1">
        <v>53.6</v>
      </c>
      <c r="B10" s="8"/>
      <c r="C10" s="8"/>
      <c r="D10" s="8">
        <v>22.1</v>
      </c>
      <c r="E10" s="1" t="s">
        <v>30</v>
      </c>
      <c r="F10" s="4">
        <v>21.8</v>
      </c>
      <c r="G10" s="4"/>
      <c r="H10" s="4"/>
      <c r="I10" s="4"/>
      <c r="J10" s="1">
        <f>D10-B9</f>
        <v>1.1000000000000014</v>
      </c>
    </row>
    <row r="11" spans="1:11">
      <c r="A11" t="s">
        <v>12</v>
      </c>
      <c r="B11" s="4"/>
      <c r="C11" s="4"/>
      <c r="D11" s="4"/>
      <c r="E11" s="4"/>
      <c r="F11" s="8">
        <v>22.2</v>
      </c>
      <c r="G11" s="8"/>
      <c r="H11" s="8"/>
      <c r="I11" s="4"/>
    </row>
    <row r="12" spans="1:11">
      <c r="A12">
        <f>A8+A10</f>
        <v>83.3</v>
      </c>
      <c r="B12" s="4"/>
      <c r="C12" s="4"/>
      <c r="D12" s="4"/>
      <c r="E12" s="4"/>
      <c r="F12" s="8"/>
      <c r="G12" s="8"/>
      <c r="H12" s="8">
        <v>31.8</v>
      </c>
      <c r="I12" s="4" t="s">
        <v>30</v>
      </c>
      <c r="K12" s="3">
        <f>H12-F11</f>
        <v>9.6000000000000014</v>
      </c>
    </row>
    <row r="13" spans="1:11">
      <c r="A13" t="s">
        <v>13</v>
      </c>
      <c r="B13" s="8">
        <v>36.200000000000003</v>
      </c>
      <c r="C13" s="8" t="s">
        <v>33</v>
      </c>
      <c r="D13" s="8"/>
      <c r="E13" s="4"/>
      <c r="F13" s="9">
        <v>36.200000000000003</v>
      </c>
      <c r="G13" s="9"/>
      <c r="H13" s="9">
        <v>36.4</v>
      </c>
      <c r="I13" s="4" t="s">
        <v>31</v>
      </c>
    </row>
    <row r="14" spans="1:11">
      <c r="A14">
        <v>0</v>
      </c>
      <c r="B14" s="8"/>
      <c r="C14" s="8"/>
      <c r="D14" s="8">
        <v>51.1</v>
      </c>
      <c r="E14" s="1" t="s">
        <v>30</v>
      </c>
      <c r="F14" s="4">
        <v>50.7</v>
      </c>
      <c r="G14" s="4" t="s">
        <v>29</v>
      </c>
      <c r="I14" s="4"/>
      <c r="J14" s="1">
        <f>D14-B13</f>
        <v>14.899999999999999</v>
      </c>
    </row>
    <row r="15" spans="1:11">
      <c r="A15" t="s">
        <v>14</v>
      </c>
      <c r="B15" s="4"/>
      <c r="C15" s="4"/>
      <c r="D15" s="4"/>
      <c r="E15" s="4"/>
      <c r="F15" s="8">
        <v>51.3</v>
      </c>
      <c r="G15" s="8"/>
      <c r="H15" s="8"/>
      <c r="I15" s="4"/>
    </row>
    <row r="16" spans="1:11">
      <c r="A16" s="7">
        <f>A12/A6*100</f>
        <v>93.38565022421524</v>
      </c>
      <c r="B16" s="4"/>
      <c r="C16" s="4"/>
      <c r="D16" s="4"/>
      <c r="E16" s="4"/>
      <c r="F16" s="8"/>
      <c r="G16" s="8"/>
      <c r="H16" s="8">
        <v>53.2</v>
      </c>
      <c r="I16" s="4" t="s">
        <v>29</v>
      </c>
      <c r="K16" s="3">
        <f>H16-F15</f>
        <v>1.9000000000000057</v>
      </c>
    </row>
    <row r="17" spans="1:11">
      <c r="A17" t="s">
        <v>15</v>
      </c>
      <c r="F17" s="8">
        <v>53.5</v>
      </c>
      <c r="G17" s="8"/>
      <c r="H17" s="8"/>
    </row>
    <row r="18" spans="1:11">
      <c r="A18" s="7">
        <f>A8/(A8+A10)*100</f>
        <v>35.654261704681872</v>
      </c>
      <c r="B18" s="8">
        <v>65</v>
      </c>
      <c r="C18" s="8" t="s">
        <v>33</v>
      </c>
      <c r="D18" s="8"/>
      <c r="F18" s="8"/>
      <c r="G18" s="8"/>
      <c r="H18" s="8">
        <v>65</v>
      </c>
      <c r="I18" t="s">
        <v>30</v>
      </c>
      <c r="K18" s="3">
        <f>H18-F17</f>
        <v>11.5</v>
      </c>
    </row>
    <row r="19" spans="1:11">
      <c r="A19" s="7">
        <f>100-A18</f>
        <v>64.345738295318128</v>
      </c>
      <c r="B19" s="8"/>
      <c r="C19" s="8"/>
      <c r="D19" s="8">
        <v>93.8</v>
      </c>
      <c r="E19" t="s">
        <v>32</v>
      </c>
      <c r="J19" s="1">
        <f>D19-B18</f>
        <v>28.799999999999997</v>
      </c>
    </row>
    <row r="20" spans="1:11">
      <c r="A20" s="3" t="s">
        <v>16</v>
      </c>
      <c r="J20" s="1">
        <f>SUM(J4:J19)</f>
        <v>53.599999999999994</v>
      </c>
      <c r="K20" s="3">
        <f>SUM(K6:K19)</f>
        <v>29.700000000000006</v>
      </c>
    </row>
    <row r="21" spans="1:11">
      <c r="A21" s="3">
        <v>3</v>
      </c>
    </row>
    <row r="22" spans="1:11">
      <c r="A22" s="1" t="s">
        <v>17</v>
      </c>
    </row>
    <row r="23" spans="1:11">
      <c r="A23" s="1">
        <v>4</v>
      </c>
    </row>
    <row r="24" spans="1:11">
      <c r="A24" s="3" t="s">
        <v>18</v>
      </c>
    </row>
    <row r="25" spans="1:11">
      <c r="A25" s="3">
        <v>1</v>
      </c>
    </row>
    <row r="26" spans="1:11">
      <c r="A26" s="1" t="s">
        <v>19</v>
      </c>
    </row>
    <row r="27" spans="1:11">
      <c r="A27" s="1">
        <v>1</v>
      </c>
    </row>
    <row r="28" spans="1:11">
      <c r="A28" s="3" t="s">
        <v>20</v>
      </c>
    </row>
    <row r="29" spans="1:11">
      <c r="A29" s="3">
        <v>4</v>
      </c>
    </row>
    <row r="30" spans="1:11">
      <c r="A30" s="1" t="s">
        <v>21</v>
      </c>
    </row>
    <row r="31" spans="1:11">
      <c r="A31" s="1">
        <v>4</v>
      </c>
    </row>
    <row r="32" spans="1:11">
      <c r="A32" s="3" t="s">
        <v>22</v>
      </c>
    </row>
    <row r="33" spans="1:2">
      <c r="A33" s="3">
        <v>3</v>
      </c>
    </row>
    <row r="34" spans="1:2">
      <c r="A34" s="1" t="s">
        <v>23</v>
      </c>
    </row>
    <row r="35" spans="1:2">
      <c r="A35" s="1">
        <v>0</v>
      </c>
    </row>
    <row r="36" spans="1:2">
      <c r="A36" t="s">
        <v>24</v>
      </c>
    </row>
    <row r="37" spans="1:2">
      <c r="A37">
        <v>4</v>
      </c>
    </row>
    <row r="38" spans="1:2">
      <c r="A38" s="3" t="s">
        <v>25</v>
      </c>
    </row>
    <row r="39" spans="1:2">
      <c r="A39" s="10" t="s">
        <v>34</v>
      </c>
    </row>
    <row r="40" spans="1:2">
      <c r="A40" s="1" t="s">
        <v>26</v>
      </c>
    </row>
    <row r="41" spans="1:2">
      <c r="A41" s="12" t="s">
        <v>36</v>
      </c>
      <c r="B41" t="s">
        <v>37</v>
      </c>
    </row>
    <row r="42" spans="1:2">
      <c r="A42" s="3" t="s">
        <v>27</v>
      </c>
    </row>
    <row r="43" spans="1:2">
      <c r="A43" s="11" t="s">
        <v>35</v>
      </c>
    </row>
    <row r="44" spans="1:2">
      <c r="A44" s="1" t="s">
        <v>28</v>
      </c>
    </row>
    <row r="45" spans="1:2">
      <c r="A45" s="11" t="s">
        <v>38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217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2005-01-22T11:05:14Z</dcterms:created>
  <dcterms:modified xsi:type="dcterms:W3CDTF">2016-01-27T09:34:19Z</dcterms:modified>
</cp:coreProperties>
</file>
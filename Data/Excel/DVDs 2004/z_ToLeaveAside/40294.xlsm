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" yWindow="48" windowWidth="7548" windowHeight="9120"/>
  </bookViews>
  <sheets>
    <sheet name="294" sheetId="1" r:id="rId1"/>
  </sheets>
  <calcPr calcId="101716"/>
</workbook>
</file>

<file path=xl/calcChain.xml><?xml version="1.0" encoding="utf-8"?>
<calcChain xmlns="http://schemas.openxmlformats.org/spreadsheetml/2006/main">
  <c r="A6" i="1"/>
  <c r="K40"/>
  <c r="J40"/>
  <c r="J20"/>
  <c r="J25"/>
  <c r="J28"/>
  <c r="J32"/>
  <c r="J35"/>
  <c r="J39"/>
  <c r="K38"/>
  <c r="K30"/>
  <c r="K26"/>
  <c r="K18"/>
  <c r="K4"/>
  <c r="J15"/>
  <c r="J12"/>
  <c r="A18"/>
  <c r="A19"/>
  <c r="A12"/>
  <c r="A16"/>
</calcChain>
</file>

<file path=xl/sharedStrings.xml><?xml version="1.0" encoding="utf-8"?>
<sst xmlns="http://schemas.openxmlformats.org/spreadsheetml/2006/main" count="73" uniqueCount="39">
  <si>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</si>
  <si>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</si>
  <si>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</si>
  <si>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</si>
  <si>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</si>
  <si>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</si>
  <si>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</si>
  <si>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</si>
  <si>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</si>
  <si>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</si>
  <si>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</si>
  <si>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</si>
  <si>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</si>
  <si>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</si>
  <si>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</si>
  <si>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</si>
  <si>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</si>
  <si>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</si>
  <si>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</si>
  <si>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</si>
  <si>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</si>
  <si>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</si>
  <si>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</si>
  <si>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</si>
  <si>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</si>
  <si>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</si>
  <si>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</si>
  <si>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</si>
  <si>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</si>
  <si>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O</t>
    <phoneticPr fontId="2"/>
  </si>
  <si>
    <t>IN</t>
    <phoneticPr fontId="2"/>
  </si>
  <si>
    <t>N</t>
    <phoneticPr fontId="2"/>
  </si>
  <si>
    <t>N</t>
    <phoneticPr fontId="2"/>
  </si>
  <si>
    <t>S</t>
    <phoneticPr fontId="2"/>
  </si>
  <si>
    <t>G</t>
    <phoneticPr fontId="2"/>
  </si>
  <si>
    <t>KMKW</t>
    <phoneticPr fontId="2"/>
  </si>
  <si>
    <t>VS50136</t>
    <phoneticPr fontId="2"/>
  </si>
  <si>
    <t>MOOB</t>
    <phoneticPr fontId="2"/>
  </si>
  <si>
    <t>TA14549</t>
  </si>
</sst>
</file>

<file path=xl/styles.xml><?xml version="1.0" encoding="utf-8"?>
<styleSheet xmlns="http://schemas.openxmlformats.org/spreadsheetml/2006/main">
  <numFmts count="1">
    <numFmt numFmtId="176" formatCode="0.00_ 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applyNumberFormat="1" applyFill="1">
      <alignment vertical="center"/>
    </xf>
    <xf numFmtId="0" fontId="0" fillId="5" borderId="0" xfId="0" applyFill="1">
      <alignment vertical="center"/>
    </xf>
    <xf numFmtId="0" fontId="5" fillId="0" borderId="0" xfId="0" applyFont="1" applyFill="1">
      <alignment vertical="center"/>
    </xf>
    <xf numFmtId="11" fontId="5" fillId="0" borderId="0" xfId="0" applyNumberFormat="1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A7" sqref="A7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294</v>
      </c>
      <c r="B2" s="4"/>
      <c r="C2" s="4"/>
      <c r="D2" s="4"/>
      <c r="E2" s="4"/>
      <c r="F2" s="4">
        <v>4</v>
      </c>
      <c r="G2" s="4" t="s">
        <v>31</v>
      </c>
      <c r="H2" s="5"/>
      <c r="I2" s="5"/>
    </row>
    <row r="3" spans="1:11">
      <c r="A3" t="s">
        <v>8</v>
      </c>
      <c r="B3" s="4"/>
      <c r="C3" s="4"/>
      <c r="D3" s="4"/>
      <c r="E3" s="4"/>
      <c r="F3" s="7">
        <v>4.5</v>
      </c>
      <c r="G3" s="7"/>
      <c r="H3" s="8"/>
      <c r="I3" s="4"/>
    </row>
    <row r="4" spans="1:11">
      <c r="A4">
        <v>93.8</v>
      </c>
      <c r="B4" s="4">
        <v>5.7</v>
      </c>
      <c r="C4" s="4" t="s">
        <v>33</v>
      </c>
      <c r="D4" s="4"/>
      <c r="E4" s="1"/>
      <c r="F4" s="7"/>
      <c r="G4" s="7"/>
      <c r="H4" s="7">
        <v>5.7</v>
      </c>
      <c r="I4" s="4" t="s">
        <v>34</v>
      </c>
      <c r="K4" s="3">
        <f>H4-F3</f>
        <v>1.2000000000000002</v>
      </c>
    </row>
    <row r="5" spans="1:11">
      <c r="A5" t="s">
        <v>9</v>
      </c>
      <c r="B5" s="7">
        <v>5.9</v>
      </c>
      <c r="C5" s="7"/>
      <c r="D5" s="7"/>
      <c r="E5" s="4"/>
      <c r="F5" s="4"/>
      <c r="G5" s="4"/>
      <c r="H5" s="4"/>
      <c r="I5" s="4"/>
    </row>
    <row r="6" spans="1:11">
      <c r="A6">
        <f>A4-F2</f>
        <v>89.8</v>
      </c>
      <c r="B6" s="7"/>
      <c r="C6" s="7"/>
      <c r="D6" s="7"/>
      <c r="E6" s="4"/>
      <c r="F6" s="3">
        <v>15</v>
      </c>
      <c r="G6" s="3" t="s">
        <v>31</v>
      </c>
      <c r="H6" s="3"/>
      <c r="I6" s="4"/>
    </row>
    <row r="7" spans="1:11">
      <c r="A7" s="3" t="s">
        <v>10</v>
      </c>
      <c r="B7" s="7"/>
      <c r="C7" s="7"/>
      <c r="D7" s="7"/>
      <c r="E7" s="4"/>
      <c r="F7" s="3"/>
      <c r="G7" s="3"/>
      <c r="H7" s="3">
        <v>15.1</v>
      </c>
      <c r="I7" s="4" t="s">
        <v>34</v>
      </c>
    </row>
    <row r="8" spans="1:11">
      <c r="A8" s="3">
        <v>17.8</v>
      </c>
      <c r="B8" s="7"/>
      <c r="C8" s="7"/>
      <c r="D8" s="7"/>
      <c r="E8" s="4"/>
      <c r="F8" s="3">
        <v>17.5</v>
      </c>
      <c r="G8" s="3" t="s">
        <v>31</v>
      </c>
      <c r="H8" s="3"/>
      <c r="I8" s="4"/>
    </row>
    <row r="9" spans="1:11">
      <c r="A9" s="1" t="s">
        <v>11</v>
      </c>
      <c r="B9" s="7"/>
      <c r="C9" s="7"/>
      <c r="D9" s="7"/>
      <c r="E9" s="4"/>
      <c r="F9" s="3"/>
      <c r="G9" s="3"/>
      <c r="H9" s="3">
        <v>17.899999999999999</v>
      </c>
      <c r="I9" s="4" t="s">
        <v>34</v>
      </c>
    </row>
    <row r="10" spans="1:11">
      <c r="A10" s="1">
        <v>60.8</v>
      </c>
      <c r="B10" s="7"/>
      <c r="C10" s="7"/>
      <c r="D10" s="7"/>
      <c r="E10" s="4"/>
      <c r="F10" s="3">
        <v>18.7</v>
      </c>
      <c r="G10" s="3" t="s">
        <v>31</v>
      </c>
      <c r="H10" s="3"/>
      <c r="I10" s="4"/>
    </row>
    <row r="11" spans="1:11">
      <c r="A11" t="s">
        <v>12</v>
      </c>
      <c r="B11" s="7"/>
      <c r="C11" s="7"/>
      <c r="D11" s="7"/>
      <c r="E11" s="4"/>
      <c r="F11" s="3"/>
      <c r="G11" s="3"/>
      <c r="H11" s="3">
        <v>18.899999999999999</v>
      </c>
      <c r="I11" s="4" t="s">
        <v>34</v>
      </c>
    </row>
    <row r="12" spans="1:11">
      <c r="A12">
        <f>A8+A10</f>
        <v>78.599999999999994</v>
      </c>
      <c r="B12" s="7"/>
      <c r="C12" s="7"/>
      <c r="D12" s="7">
        <v>26.4</v>
      </c>
      <c r="E12" s="4" t="s">
        <v>34</v>
      </c>
      <c r="F12" s="4"/>
      <c r="G12" s="4"/>
      <c r="H12" s="4"/>
      <c r="I12" s="4"/>
      <c r="J12" s="1">
        <f>D12-B5</f>
        <v>20.5</v>
      </c>
    </row>
    <row r="13" spans="1:11">
      <c r="A13" t="s">
        <v>13</v>
      </c>
      <c r="B13" s="7">
        <v>27.7</v>
      </c>
      <c r="C13" s="7"/>
      <c r="D13" s="7"/>
      <c r="E13" s="4"/>
      <c r="F13" s="4"/>
      <c r="G13" s="4"/>
      <c r="H13" s="4"/>
      <c r="I13" s="4"/>
    </row>
    <row r="14" spans="1:11">
      <c r="A14">
        <v>0</v>
      </c>
      <c r="B14" s="7"/>
      <c r="C14" s="7"/>
      <c r="D14" s="7"/>
      <c r="E14" s="4"/>
      <c r="F14" s="9">
        <v>32.1</v>
      </c>
      <c r="G14" s="9"/>
      <c r="H14" s="9">
        <v>32.1</v>
      </c>
      <c r="I14" s="4" t="s">
        <v>29</v>
      </c>
    </row>
    <row r="15" spans="1:11">
      <c r="A15" t="s">
        <v>14</v>
      </c>
      <c r="B15" s="7"/>
      <c r="C15" s="7"/>
      <c r="D15" s="7">
        <v>33.9</v>
      </c>
      <c r="E15" s="1" t="s">
        <v>34</v>
      </c>
      <c r="F15" s="4">
        <v>33.9</v>
      </c>
      <c r="G15" s="4" t="s">
        <v>33</v>
      </c>
      <c r="H15" s="4"/>
      <c r="I15" s="4"/>
      <c r="J15" s="1">
        <f>D15-B13</f>
        <v>6.1999999999999993</v>
      </c>
    </row>
    <row r="16" spans="1:11">
      <c r="A16" s="6">
        <f>A12/A6*100</f>
        <v>87.527839643652555</v>
      </c>
      <c r="B16" s="4"/>
      <c r="C16" s="4"/>
      <c r="D16" s="4"/>
      <c r="E16" s="4"/>
      <c r="F16" s="7">
        <v>34</v>
      </c>
      <c r="G16" s="7" t="s">
        <v>31</v>
      </c>
      <c r="H16" s="7"/>
      <c r="I16" s="4"/>
    </row>
    <row r="17" spans="1:11">
      <c r="A17" t="s">
        <v>15</v>
      </c>
      <c r="B17" s="9">
        <v>36.4</v>
      </c>
      <c r="C17" s="9"/>
      <c r="D17" s="9">
        <v>36.4</v>
      </c>
      <c r="E17" t="s">
        <v>29</v>
      </c>
      <c r="F17" s="7"/>
      <c r="G17" s="7"/>
      <c r="H17" s="7"/>
    </row>
    <row r="18" spans="1:11">
      <c r="A18" s="6">
        <f>A8/(A8+A10)*100</f>
        <v>22.646310432569976</v>
      </c>
      <c r="F18" s="7"/>
      <c r="G18" s="7"/>
      <c r="H18" s="7">
        <v>37</v>
      </c>
      <c r="I18" t="s">
        <v>33</v>
      </c>
      <c r="K18" s="3">
        <f>H18-F16</f>
        <v>3</v>
      </c>
    </row>
    <row r="19" spans="1:11">
      <c r="A19" s="6">
        <f>100-A18</f>
        <v>77.353689567430024</v>
      </c>
      <c r="B19" s="7">
        <v>39</v>
      </c>
      <c r="C19" s="7" t="s">
        <v>32</v>
      </c>
      <c r="D19" s="7"/>
      <c r="E19" s="1"/>
      <c r="H19">
        <v>39</v>
      </c>
      <c r="I19" t="s">
        <v>34</v>
      </c>
    </row>
    <row r="20" spans="1:11">
      <c r="A20" s="3" t="s">
        <v>16</v>
      </c>
      <c r="B20" s="7"/>
      <c r="C20" s="7"/>
      <c r="D20" s="7">
        <v>41</v>
      </c>
      <c r="E20" t="s">
        <v>34</v>
      </c>
      <c r="J20" s="1">
        <f>D20-B19</f>
        <v>2</v>
      </c>
    </row>
    <row r="21" spans="1:11">
      <c r="A21" s="3">
        <v>9</v>
      </c>
      <c r="B21" s="9">
        <v>42</v>
      </c>
      <c r="C21" s="9"/>
      <c r="D21" s="9">
        <v>42.1</v>
      </c>
      <c r="E21" t="s">
        <v>29</v>
      </c>
    </row>
    <row r="22" spans="1:11">
      <c r="A22" s="1" t="s">
        <v>17</v>
      </c>
      <c r="B22" s="3">
        <v>42.5</v>
      </c>
      <c r="C22" s="3"/>
      <c r="D22" s="3"/>
    </row>
    <row r="23" spans="1:11">
      <c r="A23" s="1">
        <v>9</v>
      </c>
      <c r="B23" s="3"/>
      <c r="C23" s="3"/>
      <c r="D23" s="3">
        <v>43</v>
      </c>
      <c r="E23" t="s">
        <v>34</v>
      </c>
    </row>
    <row r="24" spans="1:11">
      <c r="A24" s="3" t="s">
        <v>18</v>
      </c>
      <c r="B24" s="7">
        <v>43.9</v>
      </c>
      <c r="C24" s="7"/>
      <c r="D24" s="7"/>
    </row>
    <row r="25" spans="1:11">
      <c r="A25" s="3">
        <v>3</v>
      </c>
      <c r="B25" s="7"/>
      <c r="C25" s="7"/>
      <c r="D25" s="7">
        <v>51</v>
      </c>
      <c r="E25" s="1" t="s">
        <v>34</v>
      </c>
      <c r="F25" s="7">
        <v>51</v>
      </c>
      <c r="G25" s="7"/>
      <c r="H25" s="7"/>
      <c r="J25" s="1">
        <f>D25-B24</f>
        <v>7.1000000000000014</v>
      </c>
    </row>
    <row r="26" spans="1:11">
      <c r="A26" s="1" t="s">
        <v>19</v>
      </c>
      <c r="B26" s="7">
        <v>59</v>
      </c>
      <c r="C26" s="7"/>
      <c r="D26" s="7"/>
      <c r="E26" s="1"/>
      <c r="F26" s="7"/>
      <c r="G26" s="7"/>
      <c r="H26" s="7">
        <v>59</v>
      </c>
      <c r="I26" t="s">
        <v>34</v>
      </c>
      <c r="K26" s="3">
        <f>H26-F25</f>
        <v>8</v>
      </c>
    </row>
    <row r="27" spans="1:11">
      <c r="A27" s="1">
        <v>2</v>
      </c>
      <c r="B27" s="7"/>
      <c r="C27" s="7"/>
      <c r="D27" s="7"/>
      <c r="F27" s="9">
        <v>68.2</v>
      </c>
      <c r="G27" s="9"/>
      <c r="H27" s="9">
        <v>68.400000000000006</v>
      </c>
      <c r="I27" t="s">
        <v>29</v>
      </c>
    </row>
    <row r="28" spans="1:11">
      <c r="A28" s="3" t="s">
        <v>20</v>
      </c>
      <c r="B28" s="7"/>
      <c r="C28" s="7"/>
      <c r="D28" s="7">
        <v>71</v>
      </c>
      <c r="E28" s="1" t="s">
        <v>34</v>
      </c>
      <c r="F28">
        <v>70.8</v>
      </c>
      <c r="J28" s="1">
        <f>D28-B26</f>
        <v>12</v>
      </c>
    </row>
    <row r="29" spans="1:11">
      <c r="A29" s="3">
        <v>5</v>
      </c>
      <c r="F29" s="7">
        <v>71</v>
      </c>
      <c r="G29" s="7" t="s">
        <v>31</v>
      </c>
      <c r="H29" s="7"/>
    </row>
    <row r="30" spans="1:11">
      <c r="A30" s="1" t="s">
        <v>21</v>
      </c>
      <c r="F30" s="7"/>
      <c r="G30" s="7"/>
      <c r="H30" s="7">
        <v>75</v>
      </c>
      <c r="I30" t="s">
        <v>33</v>
      </c>
      <c r="K30" s="3">
        <f>H30-F29</f>
        <v>4</v>
      </c>
    </row>
    <row r="31" spans="1:11">
      <c r="A31" s="1">
        <v>8</v>
      </c>
      <c r="B31" s="7">
        <v>75.5</v>
      </c>
      <c r="C31" s="7"/>
      <c r="D31" s="7"/>
      <c r="E31" s="1"/>
      <c r="H31">
        <v>75.400000000000006</v>
      </c>
      <c r="I31" t="s">
        <v>34</v>
      </c>
    </row>
    <row r="32" spans="1:11">
      <c r="A32" s="3" t="s">
        <v>22</v>
      </c>
      <c r="B32" s="7"/>
      <c r="C32" s="7"/>
      <c r="D32" s="7">
        <v>79</v>
      </c>
      <c r="E32" t="s">
        <v>34</v>
      </c>
      <c r="J32" s="1">
        <f>D32-B31</f>
        <v>3.5</v>
      </c>
    </row>
    <row r="33" spans="1:11">
      <c r="A33" s="3">
        <v>8</v>
      </c>
      <c r="B33" s="7">
        <v>80.3</v>
      </c>
      <c r="C33" s="7"/>
      <c r="D33" s="7"/>
    </row>
    <row r="34" spans="1:11">
      <c r="A34" s="1" t="s">
        <v>23</v>
      </c>
      <c r="B34" s="7"/>
      <c r="C34" s="7"/>
      <c r="D34" s="7"/>
      <c r="F34" s="9">
        <v>82.9</v>
      </c>
      <c r="G34" s="9"/>
      <c r="H34" s="9">
        <v>83</v>
      </c>
      <c r="I34" t="s">
        <v>29</v>
      </c>
    </row>
    <row r="35" spans="1:11">
      <c r="A35" s="1">
        <v>2</v>
      </c>
      <c r="B35" s="7"/>
      <c r="C35" s="7"/>
      <c r="D35" s="7">
        <v>84.5</v>
      </c>
      <c r="E35" s="1" t="s">
        <v>34</v>
      </c>
      <c r="F35" s="3">
        <v>84.5</v>
      </c>
      <c r="G35" s="3" t="s">
        <v>31</v>
      </c>
      <c r="H35" s="3"/>
      <c r="J35" s="1">
        <f>D35-B33</f>
        <v>4.2000000000000028</v>
      </c>
    </row>
    <row r="36" spans="1:11">
      <c r="A36" t="s">
        <v>24</v>
      </c>
      <c r="F36" s="3"/>
      <c r="G36" s="3"/>
      <c r="H36" s="3">
        <v>84.7</v>
      </c>
      <c r="I36" t="s">
        <v>34</v>
      </c>
    </row>
    <row r="37" spans="1:11">
      <c r="A37">
        <v>9</v>
      </c>
      <c r="F37" s="7">
        <v>86.5</v>
      </c>
      <c r="G37" s="7" t="s">
        <v>31</v>
      </c>
      <c r="H37" s="7"/>
    </row>
    <row r="38" spans="1:11">
      <c r="A38" s="3" t="s">
        <v>25</v>
      </c>
      <c r="B38" s="7">
        <v>88.5</v>
      </c>
      <c r="C38" s="7" t="s">
        <v>31</v>
      </c>
      <c r="D38" s="7"/>
      <c r="E38" s="1"/>
      <c r="F38" s="7"/>
      <c r="G38" s="7"/>
      <c r="H38" s="7">
        <v>88.1</v>
      </c>
      <c r="I38" t="s">
        <v>34</v>
      </c>
      <c r="K38" s="3">
        <f>H38-F37</f>
        <v>1.5999999999999943</v>
      </c>
    </row>
    <row r="39" spans="1:11">
      <c r="A39" s="10" t="s">
        <v>35</v>
      </c>
      <c r="B39" s="7"/>
      <c r="C39" s="7"/>
      <c r="D39" s="7">
        <v>93.8</v>
      </c>
      <c r="E39" t="s">
        <v>30</v>
      </c>
      <c r="J39" s="1">
        <f>D39-B38</f>
        <v>5.2999999999999972</v>
      </c>
    </row>
    <row r="40" spans="1:11">
      <c r="A40" s="1" t="s">
        <v>26</v>
      </c>
      <c r="J40" s="1">
        <f>SUM(J5:J39)</f>
        <v>60.8</v>
      </c>
      <c r="K40" s="3">
        <f>SUM(K4:K39)</f>
        <v>17.799999999999994</v>
      </c>
    </row>
    <row r="41" spans="1:11">
      <c r="A41" s="12" t="s">
        <v>37</v>
      </c>
    </row>
    <row r="42" spans="1:11">
      <c r="A42" s="3" t="s">
        <v>27</v>
      </c>
    </row>
    <row r="43" spans="1:11">
      <c r="A43" s="11" t="s">
        <v>36</v>
      </c>
    </row>
    <row r="44" spans="1:11">
      <c r="A44" s="1" t="s">
        <v>28</v>
      </c>
    </row>
    <row r="45" spans="1:11">
      <c r="A45" s="13" t="s">
        <v>38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294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2005-01-20T08:05:51Z</dcterms:created>
  <dcterms:modified xsi:type="dcterms:W3CDTF">2016-01-27T09:34:42Z</dcterms:modified>
</cp:coreProperties>
</file>
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08" windowWidth="7608" windowHeight="9120"/>
  </bookViews>
  <sheets>
    <sheet name="227" sheetId="1" r:id="rId1"/>
  </sheets>
  <calcPr calcId="101716"/>
</workbook>
</file>

<file path=xl/calcChain.xml><?xml version="1.0" encoding="utf-8"?>
<calcChain xmlns="http://schemas.openxmlformats.org/spreadsheetml/2006/main">
  <c r="J13" i="1"/>
  <c r="K13"/>
  <c r="K5"/>
  <c r="K8"/>
  <c r="K10"/>
  <c r="K12"/>
  <c r="J11"/>
  <c r="J9"/>
  <c r="J6"/>
  <c r="J3"/>
  <c r="A6"/>
  <c r="A18"/>
  <c r="A19"/>
  <c r="A12"/>
  <c r="A16"/>
</calcChain>
</file>

<file path=xl/sharedStrings.xml><?xml version="1.0" encoding="utf-8"?>
<sst xmlns="http://schemas.openxmlformats.org/spreadsheetml/2006/main" count="48" uniqueCount="37">
  <si>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</si>
  <si>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</si>
  <si>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</si>
  <si>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</si>
  <si>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</si>
  <si>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</si>
  <si>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</si>
  <si>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</si>
  <si>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</si>
  <si>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</si>
  <si>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</si>
  <si>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</si>
  <si>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</si>
  <si>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</si>
  <si>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</si>
  <si>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</si>
  <si>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</si>
  <si>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</si>
  <si>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</si>
  <si>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</si>
  <si>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</si>
  <si>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</si>
  <si>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</si>
  <si>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</si>
  <si>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</si>
  <si>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</si>
  <si>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</si>
  <si>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</si>
  <si>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</si>
  <si>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O</t>
    <phoneticPr fontId="2"/>
  </si>
  <si>
    <t>G</t>
    <phoneticPr fontId="2"/>
  </si>
  <si>
    <t>INTERUPTION</t>
    <phoneticPr fontId="2"/>
  </si>
  <si>
    <t>S</t>
    <phoneticPr fontId="2"/>
  </si>
  <si>
    <t>KKMV</t>
    <phoneticPr fontId="2"/>
  </si>
  <si>
    <t>VS50140</t>
  </si>
  <si>
    <t>NOMO</t>
  </si>
  <si>
    <t>TA14607</t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</si>
</sst>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1" fillId="5" borderId="0" xfId="1" applyNumberFormat="1" applyFont="1" applyFill="1" applyAlignment="1" applyProtection="1">
      <alignment vertical="center"/>
    </xf>
    <xf numFmtId="49" fontId="4" fillId="0" borderId="0" xfId="0" applyNumberFormat="1" applyFont="1" applyFill="1">
      <alignment vertical="center"/>
    </xf>
    <xf numFmtId="0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B29" sqref="B29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227</v>
      </c>
      <c r="B2" s="8">
        <v>3.3</v>
      </c>
      <c r="C2" s="8"/>
      <c r="D2" s="8"/>
      <c r="E2" s="4"/>
      <c r="F2" s="9">
        <v>3.3</v>
      </c>
      <c r="G2" s="9"/>
      <c r="H2" s="10">
        <v>3.5</v>
      </c>
      <c r="I2" s="5" t="s">
        <v>29</v>
      </c>
    </row>
    <row r="3" spans="1:11">
      <c r="A3" t="s">
        <v>8</v>
      </c>
      <c r="B3" s="8"/>
      <c r="C3" s="8"/>
      <c r="D3" s="8">
        <v>10.5</v>
      </c>
      <c r="E3" s="1" t="s">
        <v>30</v>
      </c>
      <c r="F3" s="4">
        <v>10.5</v>
      </c>
      <c r="G3" s="4" t="s">
        <v>32</v>
      </c>
      <c r="H3" s="6"/>
      <c r="I3" s="4"/>
      <c r="J3" s="1">
        <f>D3-B2</f>
        <v>7.2</v>
      </c>
    </row>
    <row r="4" spans="1:11">
      <c r="A4">
        <v>65</v>
      </c>
      <c r="B4" s="4"/>
      <c r="C4" s="4"/>
      <c r="D4" s="4"/>
      <c r="E4" s="4"/>
      <c r="F4" s="8">
        <v>10.8</v>
      </c>
      <c r="G4" s="8"/>
      <c r="H4" s="8"/>
      <c r="I4" s="4"/>
    </row>
    <row r="5" spans="1:11">
      <c r="A5" t="s">
        <v>9</v>
      </c>
      <c r="B5" s="8">
        <v>16.2</v>
      </c>
      <c r="C5" s="8"/>
      <c r="D5" s="8"/>
      <c r="E5" s="1"/>
      <c r="F5" s="8"/>
      <c r="G5" s="8"/>
      <c r="H5" s="8">
        <v>16.2</v>
      </c>
      <c r="I5" s="4" t="s">
        <v>30</v>
      </c>
      <c r="K5" s="3">
        <f>H5-F4</f>
        <v>5.3999999999999986</v>
      </c>
    </row>
    <row r="6" spans="1:11">
      <c r="A6">
        <f>A4-B2</f>
        <v>61.7</v>
      </c>
      <c r="B6" s="8"/>
      <c r="C6" s="8"/>
      <c r="D6" s="8">
        <v>19.399999999999999</v>
      </c>
      <c r="E6" s="1" t="s">
        <v>30</v>
      </c>
      <c r="F6" s="4">
        <v>18.899999999999999</v>
      </c>
      <c r="G6" s="4" t="s">
        <v>32</v>
      </c>
      <c r="H6" s="4"/>
      <c r="I6" s="4"/>
      <c r="J6" s="1">
        <f>D6-B5</f>
        <v>3.1999999999999993</v>
      </c>
    </row>
    <row r="7" spans="1:11">
      <c r="A7" s="3" t="s">
        <v>10</v>
      </c>
      <c r="B7" s="4"/>
      <c r="C7" s="4"/>
      <c r="D7" s="4"/>
      <c r="E7" s="4"/>
      <c r="F7" s="8">
        <v>19.600000000000001</v>
      </c>
      <c r="G7" s="8"/>
      <c r="H7" s="8"/>
      <c r="I7" s="4"/>
    </row>
    <row r="8" spans="1:11">
      <c r="A8" s="3">
        <v>23.1</v>
      </c>
      <c r="B8" s="8">
        <v>23.4</v>
      </c>
      <c r="C8" s="8"/>
      <c r="D8" s="8"/>
      <c r="E8" s="1"/>
      <c r="F8" s="8"/>
      <c r="G8" s="8"/>
      <c r="H8" s="8">
        <v>23.3</v>
      </c>
      <c r="I8" s="4" t="s">
        <v>30</v>
      </c>
      <c r="K8" s="3">
        <f>H8-F7</f>
        <v>3.6999999999999993</v>
      </c>
    </row>
    <row r="9" spans="1:11">
      <c r="A9" s="1" t="s">
        <v>11</v>
      </c>
      <c r="B9" s="8"/>
      <c r="C9" s="8"/>
      <c r="D9" s="8">
        <v>32.799999999999997</v>
      </c>
      <c r="E9" s="1" t="s">
        <v>30</v>
      </c>
      <c r="F9" s="8">
        <v>32.9</v>
      </c>
      <c r="G9" s="8"/>
      <c r="H9" s="8"/>
      <c r="I9" s="4"/>
      <c r="J9" s="1">
        <f>D9-B8</f>
        <v>9.3999999999999986</v>
      </c>
    </row>
    <row r="10" spans="1:11">
      <c r="A10" s="1">
        <v>30.3</v>
      </c>
      <c r="B10" s="8">
        <v>38.6</v>
      </c>
      <c r="C10" s="8"/>
      <c r="D10" s="8"/>
      <c r="E10" s="1"/>
      <c r="F10" s="8"/>
      <c r="G10" s="8"/>
      <c r="H10" s="8">
        <v>38.6</v>
      </c>
      <c r="I10" s="4" t="s">
        <v>30</v>
      </c>
      <c r="K10" s="3">
        <f>H10-F9</f>
        <v>5.7000000000000028</v>
      </c>
    </row>
    <row r="11" spans="1:11">
      <c r="A11" t="s">
        <v>12</v>
      </c>
      <c r="B11" s="8"/>
      <c r="C11" s="8"/>
      <c r="D11" s="8">
        <v>49.1</v>
      </c>
      <c r="E11" s="1" t="s">
        <v>30</v>
      </c>
      <c r="F11" s="8">
        <v>49.3</v>
      </c>
      <c r="G11" s="8"/>
      <c r="H11" s="8"/>
      <c r="I11" s="4"/>
      <c r="J11" s="1">
        <f>D11-B10</f>
        <v>10.5</v>
      </c>
    </row>
    <row r="12" spans="1:11">
      <c r="A12">
        <f>A8+A10</f>
        <v>53.400000000000006</v>
      </c>
      <c r="B12" s="4"/>
      <c r="C12" s="4"/>
      <c r="D12" s="4"/>
      <c r="E12" s="4"/>
      <c r="F12" s="8"/>
      <c r="G12" s="8"/>
      <c r="H12" s="8">
        <v>57.6</v>
      </c>
      <c r="I12" s="4" t="s">
        <v>30</v>
      </c>
      <c r="K12" s="3">
        <f>H12-F11</f>
        <v>8.3000000000000043</v>
      </c>
    </row>
    <row r="13" spans="1:11">
      <c r="A13" t="s">
        <v>13</v>
      </c>
      <c r="B13" s="4"/>
      <c r="C13" s="4"/>
      <c r="D13" s="4"/>
      <c r="E13" s="4"/>
      <c r="F13" s="4" t="s">
        <v>31</v>
      </c>
      <c r="G13" s="4"/>
      <c r="H13" s="4"/>
      <c r="I13" s="4"/>
      <c r="J13" s="1">
        <f>SUM(J2:J12)</f>
        <v>30.299999999999997</v>
      </c>
      <c r="K13" s="3">
        <f>SUM(K3:K12)</f>
        <v>23.100000000000005</v>
      </c>
    </row>
    <row r="14" spans="1:11">
      <c r="A14">
        <v>0</v>
      </c>
      <c r="B14" s="4"/>
      <c r="C14" s="4"/>
      <c r="D14" s="4"/>
      <c r="E14" s="4"/>
      <c r="F14" s="4"/>
      <c r="G14" s="4"/>
      <c r="H14" s="4"/>
      <c r="I14" s="4"/>
    </row>
    <row r="15" spans="1:11">
      <c r="A15" t="s">
        <v>14</v>
      </c>
      <c r="B15" s="4"/>
      <c r="C15" s="4"/>
      <c r="D15" s="4"/>
      <c r="E15" s="4"/>
      <c r="F15" s="4"/>
      <c r="G15" s="4"/>
      <c r="H15" s="4"/>
      <c r="I15" s="4"/>
    </row>
    <row r="16" spans="1:11">
      <c r="A16" s="7">
        <f>A12/A6*100</f>
        <v>86.547811993517016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15</v>
      </c>
    </row>
    <row r="18" spans="1:1">
      <c r="A18" s="7">
        <f>A8/(A8+A10)*100</f>
        <v>43.258426966292134</v>
      </c>
    </row>
    <row r="19" spans="1:1">
      <c r="A19" s="7">
        <f>100-A18</f>
        <v>56.741573033707866</v>
      </c>
    </row>
    <row r="20" spans="1:1">
      <c r="A20" s="3" t="s">
        <v>16</v>
      </c>
    </row>
    <row r="21" spans="1:1">
      <c r="A21" s="3">
        <v>4</v>
      </c>
    </row>
    <row r="22" spans="1:1">
      <c r="A22" s="1" t="s">
        <v>17</v>
      </c>
    </row>
    <row r="23" spans="1:1">
      <c r="A23" s="1">
        <v>4</v>
      </c>
    </row>
    <row r="24" spans="1:1">
      <c r="A24" s="3" t="s">
        <v>18</v>
      </c>
    </row>
    <row r="25" spans="1:1">
      <c r="A25" s="3">
        <v>1</v>
      </c>
    </row>
    <row r="26" spans="1:1">
      <c r="A26" s="1" t="s">
        <v>19</v>
      </c>
    </row>
    <row r="27" spans="1:1">
      <c r="A27" s="1">
        <v>0</v>
      </c>
    </row>
    <row r="28" spans="1:1">
      <c r="A28" s="3" t="s">
        <v>20</v>
      </c>
    </row>
    <row r="29" spans="1:1">
      <c r="A29" s="3">
        <v>4</v>
      </c>
    </row>
    <row r="30" spans="1:1">
      <c r="A30" s="1" t="s">
        <v>21</v>
      </c>
    </row>
    <row r="31" spans="1:1">
      <c r="A31" s="1">
        <v>4</v>
      </c>
    </row>
    <row r="32" spans="1:1">
      <c r="A32" s="3" t="s">
        <v>22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0</v>
      </c>
    </row>
    <row r="36" spans="1:1">
      <c r="A36" t="s">
        <v>24</v>
      </c>
    </row>
    <row r="37" spans="1:1">
      <c r="A37">
        <v>7</v>
      </c>
    </row>
    <row r="38" spans="1:1">
      <c r="A38" s="3" t="s">
        <v>25</v>
      </c>
    </row>
    <row r="39" spans="1:1">
      <c r="A39" s="11" t="s">
        <v>33</v>
      </c>
    </row>
    <row r="40" spans="1:1">
      <c r="A40" s="1" t="s">
        <v>26</v>
      </c>
    </row>
    <row r="41" spans="1:1">
      <c r="A41" s="13" t="s">
        <v>35</v>
      </c>
    </row>
    <row r="42" spans="1:1">
      <c r="A42" s="3" t="s">
        <v>27</v>
      </c>
    </row>
    <row r="43" spans="1:1">
      <c r="A43" s="12" t="s">
        <v>34</v>
      </c>
    </row>
    <row r="44" spans="1:1">
      <c r="A44" s="1" t="s">
        <v>28</v>
      </c>
    </row>
    <row r="45" spans="1:1">
      <c r="A45" s="12" t="s">
        <v>36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227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2005-01-22T11:02:58Z</dcterms:created>
  <dcterms:modified xsi:type="dcterms:W3CDTF">2016-01-27T09:34:21Z</dcterms:modified>
</cp:coreProperties>
</file>
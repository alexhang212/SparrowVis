
<file path=[Content_Types].xml><?xml version="1.0" encoding="utf-8"?>
<Types xmlns="http://schemas.openxmlformats.org/package/2006/content-types"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/>
  <workbookPr codeName="ThisWorkbook" defaultThemeVersion="124226"/>
  <bookViews>
    <workbookView xWindow="240" yWindow="300" windowWidth="14952" windowHeight="8196"/>
  </bookViews>
  <sheets>
    <sheet name="LF6" sheetId="1" r:id="rId1"/>
  </sheets>
  <calcPr calcId="101716"/>
</workbook>
</file>

<file path=xl/calcChain.xml><?xml version="1.0" encoding="utf-8"?>
<calcChain xmlns="http://schemas.openxmlformats.org/spreadsheetml/2006/main">
  <c r="K31" i="1"/>
  <c r="J31"/>
  <c r="J28"/>
  <c r="K25"/>
  <c r="J22"/>
  <c r="J19"/>
  <c r="J17"/>
  <c r="J15"/>
  <c r="K10"/>
  <c r="J6"/>
  <c r="J4"/>
  <c r="A6"/>
  <c r="A18"/>
  <c r="A19"/>
  <c r="A12"/>
  <c r="A16"/>
</calcChain>
</file>

<file path=xl/sharedStrings.xml><?xml version="1.0" encoding="utf-8"?>
<sst xmlns="http://schemas.openxmlformats.org/spreadsheetml/2006/main" count="45" uniqueCount="36">
  <si>
    <t>DVD no</t>
  </si>
  <si>
    <t>F in</t>
  </si>
  <si>
    <t>com</t>
  </si>
  <si>
    <t>F out</t>
  </si>
  <si>
    <t>com</t>
  </si>
  <si>
    <t>M in</t>
  </si>
  <si>
    <t>com</t>
  </si>
  <si>
    <t>M out</t>
  </si>
  <si>
    <t>com</t>
  </si>
  <si>
    <t>F calc</t>
  </si>
  <si>
    <t>Mcalc</t>
  </si>
  <si>
    <t>tap length</t>
  </si>
  <si>
    <t>effect time</t>
  </si>
  <si>
    <t>male time</t>
  </si>
  <si>
    <t>female time</t>
  </si>
  <si>
    <t>total</t>
  </si>
  <si>
    <t>share time</t>
  </si>
  <si>
    <t>percent</t>
  </si>
  <si>
    <t>M:F</t>
  </si>
  <si>
    <t>M visit1</t>
  </si>
  <si>
    <t>F visit1</t>
  </si>
  <si>
    <t>M visit2</t>
  </si>
  <si>
    <t>F visit2</t>
  </si>
  <si>
    <t>M bout</t>
  </si>
  <si>
    <t>F bout</t>
  </si>
  <si>
    <t>M nest</t>
  </si>
  <si>
    <t>F nest</t>
  </si>
  <si>
    <t>synchro</t>
  </si>
  <si>
    <t>MALE R</t>
  </si>
  <si>
    <t>FMEALE R</t>
  </si>
  <si>
    <t>MALE L</t>
  </si>
  <si>
    <t>FEMALE L</t>
  </si>
  <si>
    <t>G</t>
  </si>
  <si>
    <t>O</t>
  </si>
  <si>
    <t>S</t>
  </si>
  <si>
    <t>INTRUSION!</t>
  </si>
</sst>
</file>

<file path=xl/styles.xml><?xml version="1.0" encoding="utf-8"?>
<styleSheet xmlns="http://schemas.openxmlformats.org/spreadsheetml/2006/main">
  <numFmts count="1">
    <numFmt numFmtId="172" formatCode="0.00_ "/>
  </numFmts>
  <fonts count="5">
    <font>
      <sz val="10"/>
      <name val="Arial"/>
    </font>
    <font>
      <sz val="11"/>
      <name val="ＭＳ Ｐゴシック"/>
      <charset val="128"/>
    </font>
    <font>
      <u/>
      <sz val="11"/>
      <color indexed="12"/>
      <name val="ＭＳ Ｐゴシック"/>
      <family val="3"/>
      <charset val="128"/>
    </font>
    <font>
      <sz val="9"/>
      <name val="ＭＳ Ｐゴシック"/>
      <family val="3"/>
      <charset val="128"/>
    </font>
    <font>
      <sz val="8"/>
      <name val="Arial"/>
    </font>
  </fonts>
  <fills count="6">
    <fill>
      <patternFill patternType="none"/>
    </fill>
    <fill>
      <patternFill patternType="gray125"/>
    </fill>
    <fill>
      <patternFill patternType="solid">
        <fgColor indexed="45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2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>
      <alignment vertical="top"/>
      <protection locked="0"/>
    </xf>
  </cellStyleXfs>
  <cellXfs count="11">
    <xf numFmtId="0" fontId="0" fillId="0" borderId="0" xfId="0"/>
    <xf numFmtId="0" fontId="0" fillId="2" borderId="0" xfId="0" applyFill="1"/>
    <xf numFmtId="0" fontId="0" fillId="3" borderId="0" xfId="0" applyNumberFormat="1" applyFill="1"/>
    <xf numFmtId="0" fontId="0" fillId="3" borderId="0" xfId="0" applyFill="1"/>
    <xf numFmtId="0" fontId="0" fillId="0" borderId="0" xfId="0" applyFill="1"/>
    <xf numFmtId="0" fontId="1" fillId="0" borderId="0" xfId="1" applyNumberFormat="1" applyFont="1" applyFill="1" applyAlignment="1" applyProtection="1">
      <alignment vertical="center"/>
    </xf>
    <xf numFmtId="0" fontId="0" fillId="0" borderId="0" xfId="0" applyNumberFormat="1" applyFill="1"/>
    <xf numFmtId="172" fontId="0" fillId="0" borderId="0" xfId="0" applyNumberFormat="1"/>
    <xf numFmtId="0" fontId="3" fillId="3" borderId="0" xfId="0" applyFont="1" applyFill="1"/>
    <xf numFmtId="0" fontId="0" fillId="4" borderId="0" xfId="0" applyFill="1"/>
    <xf numFmtId="0" fontId="0" fillId="5" borderId="0" xfId="0" applyFill="1"/>
  </cellXfs>
  <cellStyles count="2">
    <cellStyle name="Hyperlink" xfId="1" builtinId="8"/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K45"/>
  <sheetViews>
    <sheetView tabSelected="1" zoomScale="75" workbookViewId="0">
      <selection activeCell="A38" sqref="A38"/>
    </sheetView>
  </sheetViews>
  <sheetFormatPr defaultRowHeight="13.2"/>
  <cols>
    <col min="1" max="1" width="14.109375" customWidth="1"/>
    <col min="2" max="2" width="6.109375" customWidth="1"/>
    <col min="3" max="3" width="6.44140625" customWidth="1"/>
    <col min="4" max="4" width="6.109375" customWidth="1"/>
    <col min="5" max="5" width="9" customWidth="1"/>
    <col min="6" max="6" width="6" customWidth="1"/>
    <col min="7" max="7" width="5.88671875" customWidth="1"/>
    <col min="8" max="8" width="8" customWidth="1"/>
    <col min="9" max="9" width="9.44140625" customWidth="1"/>
    <col min="10" max="10" width="7.88671875" style="1" customWidth="1"/>
    <col min="11" max="11" width="8" style="3" customWidth="1"/>
  </cols>
  <sheetData>
    <row r="1" spans="1:11">
      <c r="A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2" t="s">
        <v>5</v>
      </c>
      <c r="G1" s="3" t="s">
        <v>6</v>
      </c>
      <c r="H1" s="3" t="s">
        <v>7</v>
      </c>
      <c r="I1" s="3" t="s">
        <v>8</v>
      </c>
      <c r="J1" s="1" t="s">
        <v>9</v>
      </c>
      <c r="K1" s="3" t="s">
        <v>10</v>
      </c>
    </row>
    <row r="2" spans="1:11">
      <c r="A2">
        <v>50834</v>
      </c>
      <c r="B2" s="4">
        <v>6.5</v>
      </c>
      <c r="C2" s="4"/>
      <c r="D2" s="4"/>
      <c r="E2" s="4"/>
      <c r="F2" s="4"/>
      <c r="G2" s="4"/>
      <c r="H2" s="5"/>
      <c r="I2" s="5"/>
    </row>
    <row r="3" spans="1:11">
      <c r="A3" t="s">
        <v>11</v>
      </c>
      <c r="B3" s="9">
        <v>6.6</v>
      </c>
      <c r="C3" s="9"/>
      <c r="D3" s="9"/>
      <c r="E3" s="4"/>
      <c r="F3" s="4"/>
      <c r="G3" s="4"/>
      <c r="H3" s="6"/>
      <c r="I3" s="4"/>
    </row>
    <row r="4" spans="1:11">
      <c r="A4">
        <v>93.2</v>
      </c>
      <c r="B4" s="9"/>
      <c r="C4" s="9"/>
      <c r="D4" s="9">
        <v>7.7</v>
      </c>
      <c r="E4" s="4" t="s">
        <v>32</v>
      </c>
      <c r="F4" s="4"/>
      <c r="G4" s="4"/>
      <c r="H4" s="4"/>
      <c r="I4" s="4"/>
      <c r="J4" s="1">
        <f>D4-B3</f>
        <v>1.1000000000000005</v>
      </c>
    </row>
    <row r="5" spans="1:11">
      <c r="A5" t="s">
        <v>12</v>
      </c>
      <c r="B5" s="9">
        <v>7.9</v>
      </c>
      <c r="C5" s="9"/>
      <c r="D5" s="9"/>
      <c r="E5" s="4"/>
      <c r="F5" s="4"/>
      <c r="G5" s="4"/>
      <c r="H5" s="4"/>
      <c r="I5" s="4"/>
    </row>
    <row r="6" spans="1:11">
      <c r="A6">
        <f>A4-B2</f>
        <v>86.7</v>
      </c>
      <c r="B6" s="9"/>
      <c r="C6" s="9"/>
      <c r="D6" s="9">
        <v>26.8</v>
      </c>
      <c r="E6" s="4"/>
      <c r="F6" s="4"/>
      <c r="G6" s="4"/>
      <c r="H6" s="4"/>
      <c r="I6" s="4"/>
      <c r="J6" s="1">
        <f>D6-B5</f>
        <v>18.899999999999999</v>
      </c>
    </row>
    <row r="7" spans="1:11">
      <c r="A7" s="3" t="s">
        <v>13</v>
      </c>
      <c r="B7" s="4"/>
      <c r="C7" s="4"/>
      <c r="D7" s="4">
        <v>27</v>
      </c>
      <c r="E7" s="4" t="s">
        <v>32</v>
      </c>
      <c r="F7" s="4"/>
      <c r="G7" s="4"/>
      <c r="H7" s="4"/>
      <c r="I7" s="4"/>
    </row>
    <row r="8" spans="1:11">
      <c r="A8" s="3">
        <v>7.7</v>
      </c>
      <c r="B8" s="10">
        <v>27.6</v>
      </c>
      <c r="C8" s="10"/>
      <c r="D8" s="10">
        <v>29.5</v>
      </c>
      <c r="E8" s="4" t="s">
        <v>33</v>
      </c>
      <c r="F8" s="4">
        <v>29.5</v>
      </c>
      <c r="G8" s="4"/>
      <c r="H8" s="4"/>
      <c r="I8" s="4"/>
    </row>
    <row r="9" spans="1:11">
      <c r="A9" s="1" t="s">
        <v>14</v>
      </c>
      <c r="B9" s="4"/>
      <c r="C9" s="4"/>
      <c r="D9" s="4"/>
      <c r="E9" s="4"/>
      <c r="F9" s="9">
        <v>29.7</v>
      </c>
      <c r="G9" s="9"/>
      <c r="H9" s="9"/>
      <c r="I9" s="4"/>
    </row>
    <row r="10" spans="1:11">
      <c r="A10" s="1">
        <v>56</v>
      </c>
      <c r="B10" s="4"/>
      <c r="C10" s="4"/>
      <c r="D10" s="4"/>
      <c r="E10" s="4"/>
      <c r="F10" s="9"/>
      <c r="G10" s="9"/>
      <c r="H10" s="9">
        <v>33.700000000000003</v>
      </c>
      <c r="I10" s="4" t="s">
        <v>34</v>
      </c>
      <c r="K10" s="3">
        <f>H10-F9</f>
        <v>4.0000000000000036</v>
      </c>
    </row>
    <row r="11" spans="1:11">
      <c r="A11" t="s">
        <v>15</v>
      </c>
      <c r="B11" s="4"/>
      <c r="C11" s="4"/>
      <c r="D11" s="4"/>
      <c r="E11" s="4"/>
      <c r="F11" s="4"/>
      <c r="G11" s="4"/>
      <c r="H11" s="4">
        <v>34.9</v>
      </c>
      <c r="I11" s="4" t="s">
        <v>32</v>
      </c>
    </row>
    <row r="12" spans="1:11">
      <c r="A12">
        <f>A8+A10</f>
        <v>63.7</v>
      </c>
      <c r="B12" s="4"/>
      <c r="C12" s="4"/>
      <c r="D12" s="4"/>
      <c r="E12" s="4"/>
      <c r="F12" s="10">
        <v>35.200000000000003</v>
      </c>
      <c r="G12" s="10"/>
      <c r="H12" s="10">
        <v>35.700000000000003</v>
      </c>
      <c r="I12" s="4" t="s">
        <v>33</v>
      </c>
    </row>
    <row r="13" spans="1:11">
      <c r="A13" t="s">
        <v>16</v>
      </c>
      <c r="B13" s="4">
        <v>38.200000000000003</v>
      </c>
      <c r="C13" s="4"/>
      <c r="D13" s="4"/>
      <c r="E13" s="4"/>
      <c r="F13" s="4"/>
      <c r="G13" s="4"/>
    </row>
    <row r="14" spans="1:11">
      <c r="A14">
        <v>0</v>
      </c>
      <c r="B14" s="9">
        <v>38.299999999999997</v>
      </c>
      <c r="C14" s="9"/>
      <c r="D14" s="9"/>
      <c r="E14" s="4"/>
      <c r="F14" s="4"/>
      <c r="G14" s="4"/>
      <c r="H14" s="4"/>
      <c r="I14" s="4"/>
    </row>
    <row r="15" spans="1:11">
      <c r="A15" t="s">
        <v>17</v>
      </c>
      <c r="B15" s="9"/>
      <c r="C15" s="9"/>
      <c r="D15" s="9">
        <v>45.1</v>
      </c>
      <c r="E15" s="4" t="s">
        <v>35</v>
      </c>
      <c r="F15" s="4"/>
      <c r="G15" s="4"/>
      <c r="H15" s="4"/>
      <c r="I15" s="4"/>
      <c r="J15" s="1">
        <f>D15-B14</f>
        <v>6.8000000000000043</v>
      </c>
    </row>
    <row r="16" spans="1:11">
      <c r="A16" s="7">
        <f>A12/A6*100</f>
        <v>73.471741637831599</v>
      </c>
      <c r="B16" s="9">
        <v>45.2</v>
      </c>
      <c r="C16" s="9"/>
      <c r="D16" s="9"/>
      <c r="E16" s="4"/>
      <c r="F16" s="4"/>
      <c r="G16" s="4"/>
      <c r="H16" s="4"/>
      <c r="I16" s="4"/>
    </row>
    <row r="17" spans="1:11">
      <c r="A17" t="s">
        <v>18</v>
      </c>
      <c r="B17" s="9"/>
      <c r="C17" s="9"/>
      <c r="D17" s="9">
        <v>51</v>
      </c>
      <c r="E17" t="s">
        <v>32</v>
      </c>
      <c r="J17" s="1">
        <f>D17-B16</f>
        <v>5.7999999999999972</v>
      </c>
    </row>
    <row r="18" spans="1:11">
      <c r="A18" s="7">
        <f>A8/(A8+A10)*100</f>
        <v>12.087912087912088</v>
      </c>
      <c r="B18" s="9">
        <v>51.7</v>
      </c>
      <c r="C18" s="9"/>
      <c r="D18" s="9"/>
    </row>
    <row r="19" spans="1:11">
      <c r="A19" s="7">
        <f>100-A18</f>
        <v>87.912087912087912</v>
      </c>
      <c r="B19" s="9"/>
      <c r="C19" s="9"/>
      <c r="D19" s="9">
        <v>61.6</v>
      </c>
      <c r="E19" t="s">
        <v>34</v>
      </c>
      <c r="J19" s="1">
        <f>D19-B18</f>
        <v>9.8999999999999986</v>
      </c>
    </row>
    <row r="20" spans="1:11">
      <c r="A20" s="3" t="s">
        <v>19</v>
      </c>
      <c r="B20" s="9">
        <v>62</v>
      </c>
      <c r="C20" s="9"/>
      <c r="D20" s="9"/>
    </row>
    <row r="21" spans="1:11">
      <c r="A21" s="3">
        <v>2</v>
      </c>
      <c r="B21" s="9"/>
      <c r="C21" s="9"/>
      <c r="D21" s="9"/>
    </row>
    <row r="22" spans="1:11">
      <c r="A22" s="1" t="s">
        <v>20</v>
      </c>
      <c r="B22" s="9"/>
      <c r="C22" s="9"/>
      <c r="D22" s="9">
        <v>67.2</v>
      </c>
      <c r="E22" s="1"/>
      <c r="F22" s="3">
        <v>67.2</v>
      </c>
      <c r="G22" s="3"/>
      <c r="H22" s="3"/>
      <c r="J22" s="1">
        <f>D22-B20</f>
        <v>5.2000000000000028</v>
      </c>
    </row>
    <row r="23" spans="1:11">
      <c r="A23" s="1">
        <v>5</v>
      </c>
      <c r="D23">
        <v>67.7</v>
      </c>
      <c r="E23" t="s">
        <v>32</v>
      </c>
      <c r="F23" s="3"/>
      <c r="G23" s="3"/>
      <c r="H23" s="3">
        <v>67.400000000000006</v>
      </c>
      <c r="I23" t="s">
        <v>34</v>
      </c>
    </row>
    <row r="24" spans="1:11">
      <c r="A24" s="3" t="s">
        <v>21</v>
      </c>
      <c r="F24" s="9">
        <v>67.900000000000006</v>
      </c>
      <c r="G24" s="9"/>
      <c r="H24" s="9"/>
    </row>
    <row r="25" spans="1:11">
      <c r="A25" s="3">
        <v>1</v>
      </c>
      <c r="F25" s="9"/>
      <c r="G25" s="9"/>
      <c r="H25" s="9">
        <v>71.599999999999994</v>
      </c>
      <c r="K25" s="3">
        <f>H25-F24</f>
        <v>3.6999999999999886</v>
      </c>
    </row>
    <row r="26" spans="1:11">
      <c r="A26" s="1" t="s">
        <v>22</v>
      </c>
      <c r="H26">
        <v>72.400000000000006</v>
      </c>
      <c r="I26" t="s">
        <v>32</v>
      </c>
    </row>
    <row r="27" spans="1:11">
      <c r="A27" s="1">
        <v>1</v>
      </c>
      <c r="B27" s="9">
        <v>83</v>
      </c>
      <c r="C27" s="9"/>
      <c r="D27" s="9"/>
    </row>
    <row r="28" spans="1:11">
      <c r="A28" s="3" t="s">
        <v>23</v>
      </c>
      <c r="B28" s="9"/>
      <c r="C28" s="9"/>
      <c r="D28" s="9">
        <v>91.3</v>
      </c>
      <c r="J28" s="1">
        <f>D28-B27</f>
        <v>8.2999999999999972</v>
      </c>
    </row>
    <row r="29" spans="1:11">
      <c r="A29" s="3">
        <v>2</v>
      </c>
      <c r="D29">
        <v>92.7</v>
      </c>
      <c r="E29" t="s">
        <v>32</v>
      </c>
    </row>
    <row r="30" spans="1:11">
      <c r="A30" s="1" t="s">
        <v>24</v>
      </c>
    </row>
    <row r="31" spans="1:11">
      <c r="A31" s="1">
        <v>7</v>
      </c>
      <c r="J31" s="1">
        <f>SUM(J3:J30)</f>
        <v>56</v>
      </c>
      <c r="K31" s="3">
        <f>SUM(K7:K30)</f>
        <v>7.6999999999999922</v>
      </c>
    </row>
    <row r="32" spans="1:11">
      <c r="A32" s="3" t="s">
        <v>25</v>
      </c>
    </row>
    <row r="33" spans="1:1">
      <c r="A33" s="3">
        <v>0</v>
      </c>
    </row>
    <row r="34" spans="1:1">
      <c r="A34" s="1" t="s">
        <v>26</v>
      </c>
    </row>
    <row r="35" spans="1:1">
      <c r="A35" s="1">
        <v>0</v>
      </c>
    </row>
    <row r="36" spans="1:1">
      <c r="A36" t="s">
        <v>27</v>
      </c>
    </row>
    <row r="37" spans="1:1">
      <c r="A37">
        <v>1</v>
      </c>
    </row>
    <row r="38" spans="1:1">
      <c r="A38" s="3" t="s">
        <v>28</v>
      </c>
    </row>
    <row r="39" spans="1:1">
      <c r="A39" s="8"/>
    </row>
    <row r="40" spans="1:1">
      <c r="A40" s="1" t="s">
        <v>29</v>
      </c>
    </row>
    <row r="41" spans="1:1">
      <c r="A41" s="1"/>
    </row>
    <row r="42" spans="1:1">
      <c r="A42" s="3" t="s">
        <v>30</v>
      </c>
    </row>
    <row r="43" spans="1:1">
      <c r="A43" s="8"/>
    </row>
    <row r="44" spans="1:1">
      <c r="A44" s="1" t="s">
        <v>31</v>
      </c>
    </row>
    <row r="45" spans="1:1">
      <c r="A45" s="1"/>
    </row>
  </sheetData>
  <phoneticPr fontId="4" type="noConversion"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LF6</vt:lpstr>
    </vt:vector>
  </TitlesOfParts>
  <Company>UOS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SN</dc:creator>
  <cp:lastModifiedBy>Malika</cp:lastModifiedBy>
  <dcterms:created xsi:type="dcterms:W3CDTF">2006-02-13T12:34:27Z</dcterms:created>
  <dcterms:modified xsi:type="dcterms:W3CDTF">2016-01-27T09:17:58Z</dcterms:modified>
</cp:coreProperties>
</file>
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300" windowWidth="14952" windowHeight="8196"/>
  </bookViews>
  <sheets>
    <sheet name="LF3" sheetId="1" r:id="rId1"/>
  </sheets>
  <calcPr calcId="101716"/>
</workbook>
</file>

<file path=xl/calcChain.xml><?xml version="1.0" encoding="utf-8"?>
<calcChain xmlns="http://schemas.openxmlformats.org/spreadsheetml/2006/main">
  <c r="A6" i="1"/>
  <c r="K17"/>
  <c r="J17"/>
  <c r="J15"/>
  <c r="K13"/>
  <c r="K11"/>
  <c r="J10"/>
  <c r="K8"/>
  <c r="K5"/>
  <c r="J4"/>
  <c r="A18"/>
  <c r="A19"/>
  <c r="A12"/>
  <c r="A16"/>
</calcChain>
</file>

<file path=xl/sharedStrings.xml><?xml version="1.0" encoding="utf-8"?>
<sst xmlns="http://schemas.openxmlformats.org/spreadsheetml/2006/main" count="41" uniqueCount="34">
  <si>
    <t>DVD no</t>
  </si>
  <si>
    <t>F in</t>
  </si>
  <si>
    <t>com</t>
  </si>
  <si>
    <t>F out</t>
  </si>
  <si>
    <t>com</t>
  </si>
  <si>
    <t>M in</t>
  </si>
  <si>
    <t>com</t>
  </si>
  <si>
    <t>M out</t>
  </si>
  <si>
    <t>com</t>
  </si>
  <si>
    <t>F calc</t>
  </si>
  <si>
    <t>Mcalc</t>
  </si>
  <si>
    <t>tap length</t>
  </si>
  <si>
    <t>effect time</t>
  </si>
  <si>
    <t>male time</t>
  </si>
  <si>
    <t>female time</t>
  </si>
  <si>
    <t>total</t>
  </si>
  <si>
    <t>share time</t>
  </si>
  <si>
    <t>percent</t>
  </si>
  <si>
    <t>M:F</t>
  </si>
  <si>
    <t>M visit1</t>
  </si>
  <si>
    <t>F visit1</t>
  </si>
  <si>
    <t>M visit2</t>
  </si>
  <si>
    <t>F visit2</t>
  </si>
  <si>
    <t>M bout</t>
  </si>
  <si>
    <t>F bout</t>
  </si>
  <si>
    <t>M nest</t>
  </si>
  <si>
    <t>F nest</t>
  </si>
  <si>
    <t>synchro</t>
  </si>
  <si>
    <t>MALE R</t>
  </si>
  <si>
    <t>FMEALE R</t>
  </si>
  <si>
    <t>MALE L</t>
  </si>
  <si>
    <t>FEMALE L</t>
  </si>
  <si>
    <t>G</t>
  </si>
  <si>
    <t>N</t>
  </si>
</sst>
</file>

<file path=xl/styles.xml><?xml version="1.0" encoding="utf-8"?>
<styleSheet xmlns="http://schemas.openxmlformats.org/spreadsheetml/2006/main">
  <numFmts count="1">
    <numFmt numFmtId="172" formatCode="0.00_ "/>
  </numFmts>
  <fonts count="5">
    <font>
      <sz val="10"/>
      <name val="Arial"/>
    </font>
    <font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2" borderId="0" xfId="0" applyFill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/>
    <xf numFmtId="172" fontId="0" fillId="0" borderId="0" xfId="0" applyNumberFormat="1"/>
    <xf numFmtId="0" fontId="3" fillId="3" borderId="0" xfId="0" applyFont="1" applyFill="1"/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zoomScale="75" workbookViewId="0">
      <selection activeCell="E21" sqref="E21"/>
    </sheetView>
  </sheetViews>
  <sheetFormatPr defaultRowHeight="13.2"/>
  <cols>
    <col min="1" max="1" width="14.109375" customWidth="1"/>
    <col min="2" max="2" width="6.109375" customWidth="1"/>
    <col min="3" max="3" width="6.44140625" customWidth="1"/>
    <col min="4" max="4" width="6.109375" customWidth="1"/>
    <col min="5" max="5" width="9" customWidth="1"/>
    <col min="6" max="6" width="6" customWidth="1"/>
    <col min="7" max="7" width="5.88671875" customWidth="1"/>
    <col min="8" max="8" width="8" customWidth="1"/>
    <col min="9" max="9" width="9.44140625" customWidth="1"/>
    <col min="10" max="10" width="7.88671875" style="1" customWidth="1"/>
    <col min="11" max="11" width="8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s="3" t="s">
        <v>10</v>
      </c>
    </row>
    <row r="2" spans="1:11">
      <c r="A2">
        <v>50833</v>
      </c>
      <c r="B2" s="4">
        <v>6.7</v>
      </c>
      <c r="C2" s="4"/>
      <c r="D2" s="4"/>
      <c r="E2" s="4"/>
      <c r="F2" s="4"/>
      <c r="G2" s="4"/>
      <c r="H2" s="5"/>
      <c r="I2" s="5"/>
    </row>
    <row r="3" spans="1:11">
      <c r="A3" t="s">
        <v>11</v>
      </c>
      <c r="B3" s="9">
        <v>7</v>
      </c>
      <c r="C3" s="9"/>
      <c r="D3" s="9"/>
      <c r="E3" s="4"/>
      <c r="F3" s="4"/>
      <c r="G3" s="4"/>
      <c r="H3" s="6"/>
      <c r="I3" s="4"/>
    </row>
    <row r="4" spans="1:11">
      <c r="A4">
        <v>93.7</v>
      </c>
      <c r="B4" s="9"/>
      <c r="C4" s="9"/>
      <c r="D4" s="9">
        <v>16</v>
      </c>
      <c r="E4" s="1" t="s">
        <v>32</v>
      </c>
      <c r="F4" s="9">
        <v>16</v>
      </c>
      <c r="G4" s="9" t="s">
        <v>33</v>
      </c>
      <c r="H4" s="9"/>
      <c r="I4" s="4"/>
      <c r="J4" s="1">
        <f>D4-B3</f>
        <v>9</v>
      </c>
    </row>
    <row r="5" spans="1:11">
      <c r="A5" t="s">
        <v>12</v>
      </c>
      <c r="B5" s="4"/>
      <c r="C5" s="4"/>
      <c r="D5" s="4"/>
      <c r="E5" s="4"/>
      <c r="F5" s="9"/>
      <c r="G5" s="9"/>
      <c r="H5" s="9">
        <v>22.4</v>
      </c>
      <c r="I5" s="4" t="s">
        <v>32</v>
      </c>
      <c r="K5" s="3">
        <f>H5-F4</f>
        <v>6.3999999999999986</v>
      </c>
    </row>
    <row r="6" spans="1:11">
      <c r="A6">
        <f>A4-B2</f>
        <v>87</v>
      </c>
      <c r="B6" s="4"/>
      <c r="C6" s="4"/>
      <c r="D6" s="4"/>
      <c r="E6" s="4"/>
      <c r="F6" s="4">
        <v>28.4</v>
      </c>
      <c r="G6" s="4"/>
      <c r="H6" s="4"/>
      <c r="I6" s="4"/>
    </row>
    <row r="7" spans="1:11">
      <c r="A7" s="3" t="s">
        <v>13</v>
      </c>
      <c r="B7" s="4"/>
      <c r="C7" s="4"/>
      <c r="D7" s="4"/>
      <c r="E7" s="4"/>
      <c r="F7" s="9">
        <v>29.7</v>
      </c>
      <c r="G7" s="9"/>
      <c r="H7" s="9"/>
      <c r="I7" s="4"/>
    </row>
    <row r="8" spans="1:11">
      <c r="A8" s="3">
        <v>27.3</v>
      </c>
      <c r="B8" s="4">
        <v>36.4</v>
      </c>
      <c r="C8" s="4"/>
      <c r="D8" s="4"/>
      <c r="E8" s="1"/>
      <c r="F8" s="9"/>
      <c r="G8" s="9"/>
      <c r="H8" s="9">
        <v>36.5</v>
      </c>
      <c r="I8" s="4" t="s">
        <v>32</v>
      </c>
      <c r="K8" s="3">
        <f>H8-F7</f>
        <v>6.8000000000000007</v>
      </c>
    </row>
    <row r="9" spans="1:11">
      <c r="A9" s="1" t="s">
        <v>14</v>
      </c>
      <c r="B9" s="9">
        <v>36.700000000000003</v>
      </c>
      <c r="C9" s="9"/>
      <c r="D9" s="9"/>
      <c r="E9" s="4"/>
      <c r="F9" s="4"/>
      <c r="G9" s="4"/>
      <c r="H9" s="4"/>
      <c r="I9" s="4"/>
    </row>
    <row r="10" spans="1:11">
      <c r="A10" s="1">
        <v>43.2</v>
      </c>
      <c r="B10" s="9"/>
      <c r="C10" s="9"/>
      <c r="D10" s="9">
        <v>53.4</v>
      </c>
      <c r="E10" s="1" t="s">
        <v>32</v>
      </c>
      <c r="F10" s="9">
        <v>53.5</v>
      </c>
      <c r="G10" s="9" t="s">
        <v>33</v>
      </c>
      <c r="H10" s="9"/>
      <c r="I10" s="4"/>
      <c r="J10" s="1">
        <f>D10-B9</f>
        <v>16.699999999999996</v>
      </c>
    </row>
    <row r="11" spans="1:11">
      <c r="A11" t="s">
        <v>15</v>
      </c>
      <c r="B11" s="4"/>
      <c r="C11" s="4"/>
      <c r="D11" s="4"/>
      <c r="E11" s="4"/>
      <c r="F11" s="9"/>
      <c r="G11" s="9"/>
      <c r="H11" s="9">
        <v>63.7</v>
      </c>
      <c r="I11" s="4" t="s">
        <v>32</v>
      </c>
      <c r="K11" s="3">
        <f>H11-F10</f>
        <v>10.200000000000003</v>
      </c>
    </row>
    <row r="12" spans="1:11">
      <c r="A12">
        <f>A8+A10</f>
        <v>70.5</v>
      </c>
      <c r="B12" s="4"/>
      <c r="C12" s="4"/>
      <c r="D12" s="4"/>
      <c r="E12" s="4"/>
      <c r="F12" s="9">
        <v>68.5</v>
      </c>
      <c r="G12" s="9"/>
      <c r="H12" s="9"/>
      <c r="I12" s="4"/>
    </row>
    <row r="13" spans="1:11">
      <c r="A13" t="s">
        <v>16</v>
      </c>
      <c r="B13" s="4"/>
      <c r="C13" s="4"/>
      <c r="D13" s="4"/>
      <c r="E13" s="4"/>
      <c r="F13" s="9"/>
      <c r="G13" s="9"/>
      <c r="H13" s="9">
        <v>72.400000000000006</v>
      </c>
      <c r="I13" s="4"/>
      <c r="K13" s="3">
        <f>H13-F12</f>
        <v>3.9000000000000057</v>
      </c>
    </row>
    <row r="14" spans="1:11">
      <c r="A14">
        <v>0</v>
      </c>
      <c r="B14" s="9">
        <v>73.5</v>
      </c>
      <c r="C14" s="9"/>
      <c r="D14" s="9"/>
      <c r="E14" s="1"/>
      <c r="F14" s="4"/>
      <c r="G14" s="4"/>
      <c r="H14" s="4">
        <v>73.5</v>
      </c>
      <c r="I14" s="4" t="s">
        <v>32</v>
      </c>
    </row>
    <row r="15" spans="1:11">
      <c r="A15" t="s">
        <v>17</v>
      </c>
      <c r="B15" s="9"/>
      <c r="C15" s="9"/>
      <c r="D15" s="9">
        <v>91</v>
      </c>
      <c r="E15" s="4"/>
      <c r="F15" s="4"/>
      <c r="G15" s="4"/>
      <c r="H15" s="4"/>
      <c r="I15" s="4"/>
      <c r="J15" s="1">
        <f>D15-B14</f>
        <v>17.5</v>
      </c>
    </row>
    <row r="16" spans="1:11">
      <c r="A16" s="7">
        <f>A12/A6*100</f>
        <v>81.034482758620683</v>
      </c>
      <c r="B16" s="4"/>
      <c r="C16" s="4"/>
      <c r="D16" s="4">
        <v>91.2</v>
      </c>
      <c r="E16" s="4" t="s">
        <v>32</v>
      </c>
      <c r="F16" s="4"/>
      <c r="G16" s="4"/>
      <c r="H16" s="4"/>
      <c r="I16" s="4"/>
    </row>
    <row r="17" spans="1:11">
      <c r="A17" t="s">
        <v>18</v>
      </c>
      <c r="J17" s="1">
        <f>SUM(J3:J16)</f>
        <v>43.199999999999996</v>
      </c>
      <c r="K17" s="3">
        <f>SUM(K4:K16)</f>
        <v>27.300000000000008</v>
      </c>
    </row>
    <row r="18" spans="1:11">
      <c r="A18" s="7">
        <f>A8/(A8+A10)*100</f>
        <v>38.723404255319153</v>
      </c>
    </row>
    <row r="19" spans="1:11">
      <c r="A19" s="7">
        <f>100-A18</f>
        <v>61.276595744680847</v>
      </c>
    </row>
    <row r="20" spans="1:11">
      <c r="A20" s="3" t="s">
        <v>19</v>
      </c>
    </row>
    <row r="21" spans="1:11">
      <c r="A21" s="3">
        <v>4</v>
      </c>
    </row>
    <row r="22" spans="1:11">
      <c r="A22" s="1" t="s">
        <v>20</v>
      </c>
    </row>
    <row r="23" spans="1:11">
      <c r="A23" s="1">
        <v>3</v>
      </c>
    </row>
    <row r="24" spans="1:11">
      <c r="A24" s="3" t="s">
        <v>21</v>
      </c>
    </row>
    <row r="25" spans="1:11">
      <c r="A25" s="3">
        <v>0</v>
      </c>
    </row>
    <row r="26" spans="1:11">
      <c r="A26" s="1" t="s">
        <v>22</v>
      </c>
    </row>
    <row r="27" spans="1:11">
      <c r="A27" s="1">
        <v>0</v>
      </c>
    </row>
    <row r="28" spans="1:11">
      <c r="A28" s="3" t="s">
        <v>23</v>
      </c>
    </row>
    <row r="29" spans="1:11">
      <c r="A29" s="3">
        <v>4</v>
      </c>
    </row>
    <row r="30" spans="1:11">
      <c r="A30" s="1" t="s">
        <v>24</v>
      </c>
    </row>
    <row r="31" spans="1:11">
      <c r="A31" s="1">
        <v>3</v>
      </c>
    </row>
    <row r="32" spans="1:11">
      <c r="A32" s="3" t="s">
        <v>25</v>
      </c>
    </row>
    <row r="33" spans="1:1">
      <c r="A33" s="3">
        <v>2</v>
      </c>
    </row>
    <row r="34" spans="1:1">
      <c r="A34" s="1" t="s">
        <v>26</v>
      </c>
    </row>
    <row r="35" spans="1:1">
      <c r="A35" s="1">
        <v>0</v>
      </c>
    </row>
    <row r="36" spans="1:1">
      <c r="A36" t="s">
        <v>27</v>
      </c>
    </row>
    <row r="37" spans="1:1">
      <c r="A37">
        <v>4</v>
      </c>
    </row>
    <row r="38" spans="1:1">
      <c r="A38" s="3" t="s">
        <v>28</v>
      </c>
    </row>
    <row r="39" spans="1:1">
      <c r="A39" s="8"/>
    </row>
    <row r="40" spans="1:1">
      <c r="A40" s="1" t="s">
        <v>29</v>
      </c>
    </row>
    <row r="41" spans="1:1">
      <c r="A41" s="1"/>
    </row>
    <row r="42" spans="1:1">
      <c r="A42" s="3" t="s">
        <v>30</v>
      </c>
    </row>
    <row r="43" spans="1:1">
      <c r="A43" s="8"/>
    </row>
    <row r="44" spans="1:1">
      <c r="A44" s="1" t="s">
        <v>31</v>
      </c>
    </row>
    <row r="45" spans="1:1">
      <c r="A45" s="1"/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LF3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2006-02-13T12:35:02Z</dcterms:created>
  <dcterms:modified xsi:type="dcterms:W3CDTF">2016-01-27T09:17:58Z</dcterms:modified>
</cp:coreProperties>
</file>